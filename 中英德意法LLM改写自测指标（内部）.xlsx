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260" windowHeight="12645" activeTab="1"/>
  </bookViews>
  <sheets>
    <sheet name="Sheet1" sheetId="1" r:id="rId1"/>
    <sheet name="Sheet1 (2)" sheetId="3" r:id="rId2"/>
  </sheets>
  <calcPr calcId="144525"/>
</workbook>
</file>

<file path=xl/sharedStrings.xml><?xml version="1.0" encoding="utf-8"?>
<sst xmlns="http://schemas.openxmlformats.org/spreadsheetml/2006/main" count="127" uniqueCount="42">
  <si>
    <t>评分标准
- 0分：改写文本与人工标注数据完全不一致，存在严重错误、语义偏差或内容缺失，存在原始数据不存在的内容 
- 0.5分：改写文本与人工标注数据基本一致，但存在少量语法错误、表达不够准确或轻微偏差，比如多了时间的描述，录像监控等非关键事件信息类的内容 
- 1分：改写文本与人工标注数据完全一致或高度相似，语义准确，表达清晰完整</t>
  </si>
  <si>
    <t>LLM-SFT（新）</t>
  </si>
  <si>
    <t>VLM-PT（老）</t>
  </si>
  <si>
    <t>LLM-SFT云端</t>
  </si>
  <si>
    <t>LLM-SFT量化</t>
  </si>
  <si>
    <t>LLM_SFT单任务</t>
  </si>
  <si>
    <t>LLM_SFT单任务量化</t>
  </si>
  <si>
    <t>中文</t>
  </si>
  <si>
    <t>英文</t>
  </si>
  <si>
    <t>德语</t>
  </si>
  <si>
    <t>/</t>
  </si>
  <si>
    <t>意大利语</t>
  </si>
  <si>
    <t>法语</t>
  </si>
  <si>
    <t>4B_SFT板端（新）</t>
  </si>
  <si>
    <t>VLM-PT板端（老）</t>
  </si>
  <si>
    <t>4B_SFT云端</t>
  </si>
  <si>
    <t>4B_SFT量化</t>
  </si>
  <si>
    <t>4B_SFT单任务云端</t>
  </si>
  <si>
    <t>4B_SFT单任务量化</t>
  </si>
  <si>
    <t>TASK12_1.7B_SFT</t>
  </si>
  <si>
    <t>4B_SFT优化后云端</t>
  </si>
  <si>
    <t>1.7B_SFT优化后云端</t>
  </si>
  <si>
    <t>87.09%/89.12%</t>
  </si>
  <si>
    <t>85.9%/88.53%</t>
  </si>
  <si>
    <t>注：第二个是最新的label和英文prompt的结果</t>
  </si>
  <si>
    <t>1.7B_SFT优化后量化</t>
  </si>
  <si>
    <t>4B_SFT优化后量化</t>
  </si>
  <si>
    <t>1.7B_SFT优化后板端</t>
  </si>
  <si>
    <t>4B_SFT优化后板端</t>
  </si>
  <si>
    <t>平均</t>
  </si>
  <si>
    <t>wt-5.0.0</t>
  </si>
  <si>
    <t>wt-4.55</t>
  </si>
  <si>
    <t>wjp-5.0.0</t>
  </si>
  <si>
    <t>wjp-4.55</t>
  </si>
  <si>
    <t>wjp-wt-4.55</t>
  </si>
  <si>
    <t>厂商提供量化模型</t>
  </si>
  <si>
    <t>5.0.0板端</t>
  </si>
  <si>
    <t>厂商提供板端模型</t>
  </si>
  <si>
    <t>厂商提供板端模型0420-v1</t>
  </si>
  <si>
    <t>厂商提供板端模型0420-v2</t>
  </si>
  <si>
    <t>VLM-PT板端（老）-4.30</t>
  </si>
  <si>
    <t>65.31%（不变）</t>
  </si>
</sst>
</file>

<file path=xl/styles.xml><?xml version="1.0" encoding="utf-8"?>
<styleSheet xmlns="http://schemas.openxmlformats.org/spreadsheetml/2006/main">
  <numFmts count="37">
    <numFmt numFmtId="176" formatCode="\¥#,##0.00;[Red]\¥\-#,##0.00"/>
    <numFmt numFmtId="23" formatCode="\$#,##0_);\(\$#,##0\)"/>
    <numFmt numFmtId="177" formatCode="#\ ??/??"/>
    <numFmt numFmtId="178" formatCode="mmmm\-yy"/>
    <numFmt numFmtId="5" formatCode="&quot;￥&quot;#,##0;&quot;￥&quot;\-#,##0"/>
    <numFmt numFmtId="24" formatCode="\$#,##0_);[Red]\(\$#,##0\)"/>
    <numFmt numFmtId="6" formatCode="&quot;￥&quot;#,##0;[Red]&quot;￥&quot;\-#,##0"/>
    <numFmt numFmtId="7" formatCode="&quot;￥&quot;#,##0.00;&quot;￥&quot;\-#,##0.00"/>
    <numFmt numFmtId="179" formatCode="[$-804]aaa"/>
    <numFmt numFmtId="180" formatCode="h:mm:ss\ AM/PM"/>
    <numFmt numFmtId="181" formatCode="[DBNum1][$-804]m&quot;月&quot;d&quot;日&quot;"/>
    <numFmt numFmtId="8" formatCode="&quot;￥&quot;#,##0.00;[Red]&quot;￥&quot;\-#,##0.00"/>
    <numFmt numFmtId="25" formatCode="\$#,##0.00_);\(\$#,##0.00\)"/>
    <numFmt numFmtId="182" formatCode="[$-804]aaaa"/>
    <numFmt numFmtId="183" formatCode="[DBNum1][$-804]yyyy&quot;年&quot;m&quot;月&quot;d&quot;日&quot;"/>
    <numFmt numFmtId="184" formatCode="yyyy/m/d\ h:mm\ AM/PM"/>
    <numFmt numFmtId="42" formatCode="_ &quot;￥&quot;* #,##0_ ;_ &quot;￥&quot;* \-#,##0_ ;_ &quot;￥&quot;* &quot;-&quot;_ ;_ @_ "/>
    <numFmt numFmtId="185" formatCode="yy/m/d"/>
    <numFmt numFmtId="186" formatCode="mmmmm"/>
    <numFmt numFmtId="187" formatCode="mmmmm\-yy"/>
    <numFmt numFmtId="188" formatCode="[DBNum1]上午/下午h&quot;时&quot;mm&quot;分&quot;"/>
    <numFmt numFmtId="189" formatCode="h:mm\ AM/PM"/>
    <numFmt numFmtId="190" formatCode="[DBNum1][$-804]yyyy&quot;年&quot;m&quot;月&quot;"/>
    <numFmt numFmtId="43" formatCode="_ * #,##0.00_ ;_ * \-#,##0.00_ ;_ * &quot;-&quot;??_ ;_ @_ "/>
    <numFmt numFmtId="41" formatCode="_ * #,##0_ ;_ * \-#,##0_ ;_ * &quot;-&quot;_ ;_ @_ "/>
    <numFmt numFmtId="191" formatCode="\¥#,##0.00;\¥\-#,##0.00"/>
    <numFmt numFmtId="26" formatCode="\$#,##0.00_);[Red]\(\$#,##0.00\)"/>
    <numFmt numFmtId="192" formatCode="\¥#,##0;\¥\-#,##0"/>
    <numFmt numFmtId="193" formatCode="m/d"/>
    <numFmt numFmtId="194" formatCode="#\ ??"/>
    <numFmt numFmtId="195" formatCode="\¥#,##0;[Red]\¥\-#,##0"/>
    <numFmt numFmtId="196" formatCode="0.0"/>
    <numFmt numFmtId="197" formatCode="#\ ?/?"/>
    <numFmt numFmtId="198" formatCode="mm/dd/yy"/>
    <numFmt numFmtId="199" formatCode="[DBNum1]h&quot;时&quot;mm&quot;分&quot;"/>
    <numFmt numFmtId="200" formatCode="dd\-mmm\-yy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0.5"/>
      <color rgb="FF000000"/>
      <name val="Arial"/>
      <charset val="134"/>
    </font>
    <font>
      <sz val="11"/>
      <color rgb="FF000000"/>
      <name val="等线"/>
      <charset val="134"/>
    </font>
    <font>
      <sz val="11"/>
      <color rgb="FFFA7D0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3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3F3F76"/>
      <name val="等线"/>
      <charset val="0"/>
      <scheme val="minor"/>
    </font>
    <font>
      <i/>
      <sz val="11"/>
      <color rgb="FF7F7F7F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AFABAB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/>
    <xf numFmtId="0" fontId="5" fillId="19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20" fillId="32" borderId="8" applyNumberFormat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9" fillId="16" borderId="8" applyNumberForma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7" fillId="24" borderId="7" applyNumberFormat="0" applyAlignment="0" applyProtection="0">
      <alignment vertical="center"/>
    </xf>
    <xf numFmtId="0" fontId="14" fillId="16" borderId="5" applyNumberFormat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</cellStyleXfs>
  <cellXfs count="3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1" fillId="0" borderId="0" xfId="0" applyFont="1" applyAlignment="1">
      <alignment horizontal="left" wrapText="1"/>
    </xf>
    <xf numFmtId="0" fontId="0" fillId="2" borderId="0" xfId="0" applyFill="1"/>
    <xf numFmtId="0" fontId="2" fillId="2" borderId="0" xfId="0" applyFont="1" applyFill="1"/>
    <xf numFmtId="10" fontId="0" fillId="2" borderId="0" xfId="0" applyNumberFormat="1" applyFont="1" applyFill="1" applyAlignment="1">
      <alignment horizontal="center"/>
    </xf>
    <xf numFmtId="10" fontId="0" fillId="2" borderId="0" xfId="0" applyNumberForma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3" borderId="0" xfId="0" applyFill="1"/>
    <xf numFmtId="0" fontId="2" fillId="4" borderId="0" xfId="0" applyFont="1" applyFill="1"/>
    <xf numFmtId="0" fontId="2" fillId="3" borderId="0" xfId="0" applyFont="1" applyFill="1"/>
    <xf numFmtId="10" fontId="0" fillId="4" borderId="0" xfId="0" applyNumberFormat="1" applyFont="1" applyFill="1" applyAlignment="1">
      <alignment horizontal="center"/>
    </xf>
    <xf numFmtId="10" fontId="0" fillId="3" borderId="0" xfId="0" applyNumberFormat="1" applyFont="1" applyFill="1" applyAlignment="1">
      <alignment horizontal="center"/>
    </xf>
    <xf numFmtId="10" fontId="0" fillId="4" borderId="0" xfId="0" applyNumberFormat="1" applyFill="1" applyAlignment="1">
      <alignment horizontal="center"/>
    </xf>
    <xf numFmtId="10" fontId="2" fillId="4" borderId="0" xfId="0" applyNumberFormat="1" applyFont="1" applyFill="1" applyAlignment="1">
      <alignment horizontal="center"/>
    </xf>
    <xf numFmtId="10" fontId="0" fillId="3" borderId="0" xfId="0" applyNumberForma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vertical="center"/>
    </xf>
    <xf numFmtId="0" fontId="2" fillId="4" borderId="0" xfId="0" applyFont="1" applyFill="1" applyAlignment="1">
      <alignment horizontal="center" vertical="center"/>
    </xf>
    <xf numFmtId="10" fontId="0" fillId="0" borderId="0" xfId="0" applyNumberFormat="1" applyFont="1" applyFill="1" applyAlignment="1">
      <alignment horizontal="center"/>
    </xf>
    <xf numFmtId="10" fontId="0" fillId="0" borderId="0" xfId="0" applyNumberFormat="1" applyFill="1" applyAlignment="1">
      <alignment horizontal="center"/>
    </xf>
    <xf numFmtId="10" fontId="2" fillId="0" borderId="0" xfId="0" applyNumberFormat="1" applyFont="1" applyFill="1" applyAlignment="1">
      <alignment horizontal="center"/>
    </xf>
    <xf numFmtId="0" fontId="2" fillId="0" borderId="0" xfId="0" applyFont="1"/>
    <xf numFmtId="0" fontId="2" fillId="4" borderId="0" xfId="0" applyFont="1" applyFill="1" applyAlignment="1">
      <alignment vertical="center" wrapText="1"/>
    </xf>
    <xf numFmtId="10" fontId="0" fillId="0" borderId="0" xfId="0" applyNumberFormat="1" applyAlignment="1">
      <alignment horizontal="center"/>
    </xf>
    <xf numFmtId="10" fontId="0" fillId="0" borderId="0" xfId="0" applyNumberFormat="1"/>
    <xf numFmtId="0" fontId="2" fillId="4" borderId="0" xfId="0" applyFont="1" applyFill="1" applyAlignment="1">
      <alignment horizontal="center"/>
    </xf>
    <xf numFmtId="0" fontId="2" fillId="3" borderId="0" xfId="0" applyFont="1" applyFill="1" applyAlignment="1">
      <alignment vertical="center"/>
    </xf>
    <xf numFmtId="0" fontId="2" fillId="0" borderId="0" xfId="0" applyFont="1" applyAlignment="1">
      <alignment wrapText="1"/>
    </xf>
    <xf numFmtId="10" fontId="2" fillId="0" borderId="0" xfId="0" applyNumberFormat="1" applyFont="1" applyAlignment="1">
      <alignment horizontal="center"/>
    </xf>
    <xf numFmtId="10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/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4.xml"/><Relationship Id="rId8" Type="http://schemas.openxmlformats.org/officeDocument/2006/relationships/customXml" Target="../customXml/item3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N37"/>
  <sheetViews>
    <sheetView zoomScale="140" zoomScaleNormal="140" topLeftCell="A10" workbookViewId="0">
      <pane xSplit="1" topLeftCell="E10" activePane="topRight" state="frozen"/>
      <selection/>
      <selection pane="topRight" activeCell="L24" sqref="L24"/>
    </sheetView>
  </sheetViews>
  <sheetFormatPr defaultColWidth="9" defaultRowHeight="14.25"/>
  <cols>
    <col min="2" max="2" width="17.325" customWidth="1"/>
    <col min="3" max="3" width="16.3416666666667" customWidth="1"/>
    <col min="4" max="4" width="17.7666666666667" customWidth="1"/>
    <col min="5" max="5" width="16.9666666666667" customWidth="1"/>
    <col min="6" max="6" width="15.5333333333333" customWidth="1"/>
    <col min="7" max="7" width="21.6083333333333" customWidth="1"/>
    <col min="8" max="8" width="20.7166666666667" customWidth="1"/>
    <col min="9" max="9" width="17.5" customWidth="1"/>
    <col min="10" max="10" width="18.75" customWidth="1"/>
    <col min="11" max="11" width="15.7166666666667" customWidth="1"/>
    <col min="12" max="12" width="16.9666666666667" customWidth="1"/>
  </cols>
  <sheetData>
    <row r="2" spans="1:14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7" spans="1:7">
      <c r="A7" s="4"/>
      <c r="B7" s="5" t="s">
        <v>1</v>
      </c>
      <c r="C7" s="5" t="s">
        <v>2</v>
      </c>
      <c r="D7" s="5" t="s">
        <v>3</v>
      </c>
      <c r="E7" s="5" t="s">
        <v>4</v>
      </c>
      <c r="F7" s="8" t="s">
        <v>5</v>
      </c>
      <c r="G7" s="8" t="s">
        <v>6</v>
      </c>
    </row>
    <row r="8" spans="1:7">
      <c r="A8" s="5" t="s">
        <v>7</v>
      </c>
      <c r="B8" s="6">
        <f>(409.5+234)/(523+314)</f>
        <v>0.768817204301075</v>
      </c>
      <c r="C8" s="6">
        <f>(237+387)/(314+523)</f>
        <v>0.745519713261649</v>
      </c>
      <c r="D8" s="7">
        <v>0.825</v>
      </c>
      <c r="E8" s="7">
        <v>0.7556</v>
      </c>
      <c r="F8" s="7">
        <v>0.9028</v>
      </c>
      <c r="G8" s="4"/>
    </row>
    <row r="9" spans="1:7">
      <c r="A9" s="5" t="s">
        <v>8</v>
      </c>
      <c r="B9" s="6">
        <f>(255+441)/(523+314)</f>
        <v>0.831541218637993</v>
      </c>
      <c r="C9" s="6">
        <f>(258+460.5)/(314+523)</f>
        <v>0.8584229390681</v>
      </c>
      <c r="D9" s="7">
        <v>0.7483</v>
      </c>
      <c r="E9" s="7">
        <v>0.6722</v>
      </c>
      <c r="F9" s="7">
        <v>0.9016</v>
      </c>
      <c r="G9" s="4"/>
    </row>
    <row r="10" spans="1:7">
      <c r="A10" s="5" t="s">
        <v>9</v>
      </c>
      <c r="B10" s="7">
        <v>0.553</v>
      </c>
      <c r="C10" s="8" t="s">
        <v>10</v>
      </c>
      <c r="D10" s="7">
        <v>0.5965</v>
      </c>
      <c r="E10" s="7">
        <v>0.5411</v>
      </c>
      <c r="F10" s="7">
        <v>0.5792</v>
      </c>
      <c r="G10" s="4"/>
    </row>
    <row r="11" spans="1:7">
      <c r="A11" s="5" t="s">
        <v>11</v>
      </c>
      <c r="B11" s="7">
        <v>0.5971</v>
      </c>
      <c r="C11" s="8" t="s">
        <v>10</v>
      </c>
      <c r="D11" s="7">
        <v>0.6269</v>
      </c>
      <c r="E11" s="7">
        <v>0.5607</v>
      </c>
      <c r="F11" s="7">
        <v>0.6436</v>
      </c>
      <c r="G11" s="4"/>
    </row>
    <row r="12" spans="1:7">
      <c r="A12" s="5" t="s">
        <v>12</v>
      </c>
      <c r="B12" s="7">
        <v>0.7735</v>
      </c>
      <c r="C12" s="8" t="s">
        <v>10</v>
      </c>
      <c r="D12" s="7">
        <v>0.8373</v>
      </c>
      <c r="E12" s="7">
        <v>0.8188</v>
      </c>
      <c r="F12" s="7">
        <v>0.8694</v>
      </c>
      <c r="G12" s="4"/>
    </row>
    <row r="15" spans="1:10">
      <c r="A15" s="9"/>
      <c r="B15" s="10" t="s">
        <v>13</v>
      </c>
      <c r="C15" s="11" t="s">
        <v>14</v>
      </c>
      <c r="D15" s="10" t="s">
        <v>15</v>
      </c>
      <c r="E15" s="11" t="s">
        <v>16</v>
      </c>
      <c r="F15" s="27" t="s">
        <v>17</v>
      </c>
      <c r="G15" s="17" t="s">
        <v>18</v>
      </c>
      <c r="H15" s="10" t="s">
        <v>19</v>
      </c>
      <c r="I15" s="10" t="s">
        <v>20</v>
      </c>
      <c r="J15" s="10" t="s">
        <v>21</v>
      </c>
    </row>
    <row r="16" spans="1:10">
      <c r="A16" s="11" t="s">
        <v>7</v>
      </c>
      <c r="B16" s="12">
        <v>0.844</v>
      </c>
      <c r="C16" s="13"/>
      <c r="D16" s="14">
        <v>0.8978</v>
      </c>
      <c r="E16" s="16"/>
      <c r="F16" s="14">
        <v>0.9097</v>
      </c>
      <c r="G16" s="9"/>
      <c r="H16" s="14">
        <v>0.9235</v>
      </c>
      <c r="I16" s="14">
        <v>0.9277</v>
      </c>
      <c r="J16" s="34"/>
    </row>
    <row r="17" spans="1:11">
      <c r="A17" s="11" t="s">
        <v>8</v>
      </c>
      <c r="B17" s="12">
        <v>0.8351</v>
      </c>
      <c r="C17" s="13"/>
      <c r="D17" s="15" t="s">
        <v>22</v>
      </c>
      <c r="E17" s="16"/>
      <c r="F17" s="14">
        <v>0.8888</v>
      </c>
      <c r="G17" s="9"/>
      <c r="H17" s="14">
        <v>0.8554</v>
      </c>
      <c r="I17" s="15" t="s">
        <v>23</v>
      </c>
      <c r="J17" s="34"/>
      <c r="K17" s="23" t="s">
        <v>24</v>
      </c>
    </row>
    <row r="18" spans="1:10">
      <c r="A18" s="11" t="s">
        <v>9</v>
      </c>
      <c r="B18" s="16">
        <v>0.553</v>
      </c>
      <c r="C18" s="17" t="s">
        <v>10</v>
      </c>
      <c r="D18" s="16">
        <v>0.5965</v>
      </c>
      <c r="E18" s="16">
        <v>0.5411</v>
      </c>
      <c r="F18" s="16">
        <v>0.5792</v>
      </c>
      <c r="G18" s="9"/>
      <c r="H18" s="9"/>
      <c r="I18" s="9"/>
      <c r="J18" s="9"/>
    </row>
    <row r="19" spans="1:10">
      <c r="A19" s="11" t="s">
        <v>11</v>
      </c>
      <c r="B19" s="16">
        <v>0.5971</v>
      </c>
      <c r="C19" s="17" t="s">
        <v>10</v>
      </c>
      <c r="D19" s="16">
        <v>0.6269</v>
      </c>
      <c r="E19" s="16">
        <v>0.5607</v>
      </c>
      <c r="F19" s="16">
        <v>0.6436</v>
      </c>
      <c r="G19" s="9"/>
      <c r="H19" s="9"/>
      <c r="I19" s="9"/>
      <c r="J19" s="9"/>
    </row>
    <row r="20" spans="1:10">
      <c r="A20" s="11" t="s">
        <v>12</v>
      </c>
      <c r="B20" s="16">
        <v>0.7735</v>
      </c>
      <c r="C20" s="17" t="s">
        <v>10</v>
      </c>
      <c r="D20" s="16">
        <v>0.8373</v>
      </c>
      <c r="E20" s="16">
        <v>0.8188</v>
      </c>
      <c r="F20" s="16">
        <v>0.8694</v>
      </c>
      <c r="G20" s="9"/>
      <c r="H20" s="9"/>
      <c r="I20" s="9"/>
      <c r="J20" s="9"/>
    </row>
    <row r="24" s="1" customFormat="1" spans="2:12">
      <c r="B24" s="18" t="s">
        <v>13</v>
      </c>
      <c r="C24" s="18" t="s">
        <v>15</v>
      </c>
      <c r="D24" s="19" t="s">
        <v>17</v>
      </c>
      <c r="E24" s="18" t="s">
        <v>19</v>
      </c>
      <c r="F24" s="18" t="s">
        <v>20</v>
      </c>
      <c r="G24" s="18" t="s">
        <v>21</v>
      </c>
      <c r="H24" s="18" t="s">
        <v>25</v>
      </c>
      <c r="I24" s="18" t="s">
        <v>26</v>
      </c>
      <c r="J24" s="18" t="s">
        <v>27</v>
      </c>
      <c r="K24" s="18" t="s">
        <v>28</v>
      </c>
      <c r="L24" s="28" t="s">
        <v>14</v>
      </c>
    </row>
    <row r="25" spans="1:12">
      <c r="A25" s="11" t="s">
        <v>7</v>
      </c>
      <c r="B25" s="20">
        <v>0.844</v>
      </c>
      <c r="C25" s="21">
        <v>0.8978</v>
      </c>
      <c r="D25" s="21">
        <v>0.9097</v>
      </c>
      <c r="E25" s="21">
        <v>0.9235</v>
      </c>
      <c r="F25" s="21">
        <v>0.9109</v>
      </c>
      <c r="G25" s="21">
        <v>0.9145</v>
      </c>
      <c r="H25" s="22">
        <v>0.8542</v>
      </c>
      <c r="I25" s="25">
        <v>0.892</v>
      </c>
      <c r="J25" s="25">
        <v>0.853</v>
      </c>
      <c r="K25" s="25">
        <v>0.8966</v>
      </c>
      <c r="L25" s="25">
        <v>0.7861</v>
      </c>
    </row>
    <row r="26" spans="1:12">
      <c r="A26" s="11" t="s">
        <v>8</v>
      </c>
      <c r="B26" s="20">
        <v>0.8351</v>
      </c>
      <c r="C26" s="22">
        <v>0.8709</v>
      </c>
      <c r="D26" s="21">
        <v>0.8888</v>
      </c>
      <c r="E26" s="21">
        <v>0.8554</v>
      </c>
      <c r="F26" s="22">
        <v>0.8853</v>
      </c>
      <c r="G26" s="21">
        <v>0.8739</v>
      </c>
      <c r="H26" s="22">
        <v>0.8733</v>
      </c>
      <c r="I26" s="32">
        <v>0.868</v>
      </c>
      <c r="J26" s="25">
        <v>0.8679</v>
      </c>
      <c r="K26" s="25">
        <v>0.8643</v>
      </c>
      <c r="L26" s="25">
        <v>0.8709</v>
      </c>
    </row>
    <row r="27" spans="1:11">
      <c r="A27" s="11" t="s">
        <v>9</v>
      </c>
      <c r="F27" s="25">
        <v>0.6711</v>
      </c>
      <c r="G27" s="25">
        <v>0.6539</v>
      </c>
      <c r="H27" s="30">
        <v>0.4699</v>
      </c>
      <c r="I27" s="25">
        <v>0.669</v>
      </c>
      <c r="J27" s="25">
        <v>0.4729</v>
      </c>
      <c r="K27" s="25">
        <v>0.6813</v>
      </c>
    </row>
    <row r="28" spans="1:11">
      <c r="A28" s="11" t="s">
        <v>11</v>
      </c>
      <c r="F28" s="25">
        <v>0.7244</v>
      </c>
      <c r="G28" s="25">
        <v>0.712</v>
      </c>
      <c r="H28" s="30">
        <v>0.6527</v>
      </c>
      <c r="I28" s="25">
        <v>0.71</v>
      </c>
      <c r="J28" s="25">
        <v>0.6512</v>
      </c>
      <c r="K28" s="25">
        <v>0.7008</v>
      </c>
    </row>
    <row r="29" spans="1:11">
      <c r="A29" s="11" t="s">
        <v>12</v>
      </c>
      <c r="F29" s="25">
        <v>0.9049</v>
      </c>
      <c r="G29" s="25">
        <v>0.8752</v>
      </c>
      <c r="H29" s="30">
        <v>0.7712</v>
      </c>
      <c r="I29" s="25">
        <v>0.853</v>
      </c>
      <c r="J29" s="25">
        <v>0.7839</v>
      </c>
      <c r="K29" s="25">
        <v>0.8489</v>
      </c>
    </row>
    <row r="30" spans="1:11">
      <c r="A30" s="23" t="s">
        <v>29</v>
      </c>
      <c r="F30" s="25">
        <f t="shared" ref="F30:I30" si="0">AVERAGE(F25:F29)</f>
        <v>0.81932</v>
      </c>
      <c r="G30" s="25">
        <f t="shared" si="0"/>
        <v>0.8059</v>
      </c>
      <c r="H30" s="25">
        <f t="shared" si="0"/>
        <v>0.72426</v>
      </c>
      <c r="I30" s="25">
        <f t="shared" si="0"/>
        <v>0.7984</v>
      </c>
      <c r="J30" s="25">
        <v>0.7257</v>
      </c>
      <c r="K30" s="25">
        <v>0.7983</v>
      </c>
    </row>
    <row r="31" spans="8:11">
      <c r="H31" s="25">
        <f>H30-G30</f>
        <v>-0.0816400000000002</v>
      </c>
      <c r="I31" s="25">
        <f>I30-F30</f>
        <v>-0.02092</v>
      </c>
      <c r="J31" s="25">
        <v>0.0014</v>
      </c>
      <c r="K31" s="25">
        <v>-0.0001</v>
      </c>
    </row>
    <row r="37" spans="8:8">
      <c r="H37" s="33"/>
    </row>
  </sheetData>
  <sheetProtection formatCells="0" insertHyperlinks="0" autoFilter="0"/>
  <mergeCells count="1">
    <mergeCell ref="A2:N5"/>
  </mergeCells>
  <pageMargins left="0.7" right="0.7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U45"/>
  <sheetViews>
    <sheetView tabSelected="1" zoomScale="140" zoomScaleNormal="140" topLeftCell="A24" workbookViewId="0">
      <pane xSplit="1" topLeftCell="E24" activePane="topRight" state="frozen"/>
      <selection/>
      <selection pane="topRight" activeCell="F36" sqref="F36:F41"/>
    </sheetView>
  </sheetViews>
  <sheetFormatPr defaultColWidth="9" defaultRowHeight="14.25"/>
  <cols>
    <col min="2" max="2" width="17.325" customWidth="1"/>
    <col min="3" max="3" width="16.3416666666667" customWidth="1"/>
    <col min="4" max="4" width="17.7666666666667" customWidth="1"/>
    <col min="5" max="5" width="16.9666666666667" customWidth="1"/>
    <col min="6" max="6" width="15.5333333333333" customWidth="1"/>
    <col min="7" max="8" width="21.6083333333333" customWidth="1"/>
    <col min="9" max="9" width="15.45" customWidth="1"/>
    <col min="10" max="12" width="13.75" customWidth="1"/>
    <col min="13" max="13" width="16.9666666666667" customWidth="1"/>
    <col min="14" max="14" width="19.0166666666667" customWidth="1"/>
    <col min="15" max="15" width="20.7166666666667" customWidth="1"/>
    <col min="16" max="16" width="17.5" customWidth="1"/>
    <col min="17" max="17" width="18.75" customWidth="1"/>
    <col min="18" max="18" width="15.7166666666667" customWidth="1"/>
    <col min="19" max="19" width="16.9666666666667" customWidth="1"/>
  </cols>
  <sheetData>
    <row r="2" spans="1:2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7" spans="1:14">
      <c r="A7" s="4"/>
      <c r="B7" s="5" t="s">
        <v>1</v>
      </c>
      <c r="C7" s="5" t="s">
        <v>2</v>
      </c>
      <c r="D7" s="5" t="s">
        <v>3</v>
      </c>
      <c r="E7" s="5" t="s">
        <v>4</v>
      </c>
      <c r="F7" s="8" t="s">
        <v>5</v>
      </c>
      <c r="G7" s="8" t="s">
        <v>6</v>
      </c>
      <c r="H7" s="8"/>
      <c r="I7" s="8"/>
      <c r="J7" s="8"/>
      <c r="K7" s="8"/>
      <c r="L7" s="8"/>
      <c r="M7" s="8"/>
      <c r="N7" s="8"/>
    </row>
    <row r="8" spans="1:14">
      <c r="A8" s="5" t="s">
        <v>7</v>
      </c>
      <c r="B8" s="6">
        <f>(409.5+234)/(523+314)</f>
        <v>0.768817204301075</v>
      </c>
      <c r="C8" s="6">
        <f>(237+387)/(314+523)</f>
        <v>0.745519713261649</v>
      </c>
      <c r="D8" s="7">
        <v>0.825</v>
      </c>
      <c r="E8" s="7">
        <v>0.7556</v>
      </c>
      <c r="F8" s="7">
        <v>0.9028</v>
      </c>
      <c r="G8" s="4"/>
      <c r="H8" s="4"/>
      <c r="I8" s="4"/>
      <c r="J8" s="4"/>
      <c r="K8" s="4"/>
      <c r="L8" s="4"/>
      <c r="M8" s="4"/>
      <c r="N8" s="4"/>
    </row>
    <row r="9" spans="1:14">
      <c r="A9" s="5" t="s">
        <v>8</v>
      </c>
      <c r="B9" s="6">
        <f>(255+441)/(523+314)</f>
        <v>0.831541218637993</v>
      </c>
      <c r="C9" s="6">
        <f>(258+460.5)/(314+523)</f>
        <v>0.8584229390681</v>
      </c>
      <c r="D9" s="7">
        <v>0.7483</v>
      </c>
      <c r="E9" s="7">
        <v>0.6722</v>
      </c>
      <c r="F9" s="7">
        <v>0.9016</v>
      </c>
      <c r="G9" s="4"/>
      <c r="H9" s="4"/>
      <c r="I9" s="4"/>
      <c r="J9" s="4"/>
      <c r="K9" s="4"/>
      <c r="L9" s="4"/>
      <c r="M9" s="4"/>
      <c r="N9" s="4"/>
    </row>
    <row r="10" spans="1:14">
      <c r="A10" s="5" t="s">
        <v>9</v>
      </c>
      <c r="B10" s="7">
        <v>0.553</v>
      </c>
      <c r="C10" s="8" t="s">
        <v>10</v>
      </c>
      <c r="D10" s="7">
        <v>0.5965</v>
      </c>
      <c r="E10" s="7">
        <v>0.5411</v>
      </c>
      <c r="F10" s="7">
        <v>0.5792</v>
      </c>
      <c r="G10" s="4"/>
      <c r="H10" s="4"/>
      <c r="I10" s="4"/>
      <c r="J10" s="4"/>
      <c r="K10" s="4"/>
      <c r="L10" s="4"/>
      <c r="M10" s="4"/>
      <c r="N10" s="4"/>
    </row>
    <row r="11" spans="1:14">
      <c r="A11" s="5" t="s">
        <v>11</v>
      </c>
      <c r="B11" s="7">
        <v>0.5971</v>
      </c>
      <c r="C11" s="8" t="s">
        <v>10</v>
      </c>
      <c r="D11" s="7">
        <v>0.6269</v>
      </c>
      <c r="E11" s="7">
        <v>0.5607</v>
      </c>
      <c r="F11" s="7">
        <v>0.6436</v>
      </c>
      <c r="G11" s="4"/>
      <c r="H11" s="4"/>
      <c r="I11" s="4"/>
      <c r="J11" s="4"/>
      <c r="K11" s="4"/>
      <c r="L11" s="4"/>
      <c r="M11" s="4"/>
      <c r="N11" s="4"/>
    </row>
    <row r="12" spans="1:14">
      <c r="A12" s="5" t="s">
        <v>12</v>
      </c>
      <c r="B12" s="7">
        <v>0.7735</v>
      </c>
      <c r="C12" s="8" t="s">
        <v>10</v>
      </c>
      <c r="D12" s="7">
        <v>0.8373</v>
      </c>
      <c r="E12" s="7">
        <v>0.8188</v>
      </c>
      <c r="F12" s="7">
        <v>0.8694</v>
      </c>
      <c r="G12" s="4"/>
      <c r="H12" s="4"/>
      <c r="I12" s="4"/>
      <c r="J12" s="4"/>
      <c r="K12" s="4"/>
      <c r="L12" s="4"/>
      <c r="M12" s="4"/>
      <c r="N12" s="4"/>
    </row>
    <row r="15" spans="1:17">
      <c r="A15" s="9"/>
      <c r="B15" s="10" t="s">
        <v>13</v>
      </c>
      <c r="C15" s="11" t="s">
        <v>14</v>
      </c>
      <c r="D15" s="10" t="s">
        <v>15</v>
      </c>
      <c r="E15" s="11" t="s">
        <v>16</v>
      </c>
      <c r="F15" s="27" t="s">
        <v>17</v>
      </c>
      <c r="G15" s="17" t="s">
        <v>18</v>
      </c>
      <c r="H15" s="17"/>
      <c r="I15" s="17"/>
      <c r="J15" s="17"/>
      <c r="K15" s="17"/>
      <c r="L15" s="17"/>
      <c r="M15" s="17"/>
      <c r="N15" s="17"/>
      <c r="O15" s="10" t="s">
        <v>19</v>
      </c>
      <c r="P15" s="10" t="s">
        <v>20</v>
      </c>
      <c r="Q15" s="10" t="s">
        <v>21</v>
      </c>
    </row>
    <row r="16" spans="1:17">
      <c r="A16" s="11" t="s">
        <v>7</v>
      </c>
      <c r="B16" s="12">
        <v>0.844</v>
      </c>
      <c r="C16" s="13"/>
      <c r="D16" s="14">
        <v>0.8978</v>
      </c>
      <c r="E16" s="16"/>
      <c r="F16" s="14">
        <v>0.9097</v>
      </c>
      <c r="G16" s="9"/>
      <c r="H16" s="9"/>
      <c r="I16" s="9"/>
      <c r="J16" s="9"/>
      <c r="K16" s="9"/>
      <c r="L16" s="9"/>
      <c r="M16" s="9"/>
      <c r="N16" s="9"/>
      <c r="O16" s="14">
        <v>0.9235</v>
      </c>
      <c r="P16" s="14">
        <v>0.9277</v>
      </c>
      <c r="Q16" s="34"/>
    </row>
    <row r="17" spans="1:18">
      <c r="A17" s="11" t="s">
        <v>8</v>
      </c>
      <c r="B17" s="12">
        <v>0.8351</v>
      </c>
      <c r="C17" s="13"/>
      <c r="D17" s="15" t="s">
        <v>22</v>
      </c>
      <c r="E17" s="16"/>
      <c r="F17" s="14">
        <v>0.8888</v>
      </c>
      <c r="G17" s="9"/>
      <c r="H17" s="9"/>
      <c r="I17" s="9"/>
      <c r="J17" s="9"/>
      <c r="K17" s="9"/>
      <c r="L17" s="9"/>
      <c r="M17" s="9"/>
      <c r="N17" s="9"/>
      <c r="O17" s="14">
        <v>0.8554</v>
      </c>
      <c r="P17" s="15" t="s">
        <v>23</v>
      </c>
      <c r="Q17" s="34"/>
      <c r="R17" s="23" t="s">
        <v>24</v>
      </c>
    </row>
    <row r="18" spans="1:17">
      <c r="A18" s="11" t="s">
        <v>9</v>
      </c>
      <c r="B18" s="16">
        <v>0.553</v>
      </c>
      <c r="C18" s="17" t="s">
        <v>10</v>
      </c>
      <c r="D18" s="16">
        <v>0.5965</v>
      </c>
      <c r="E18" s="16">
        <v>0.5411</v>
      </c>
      <c r="F18" s="16">
        <v>0.5792</v>
      </c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</row>
    <row r="19" spans="1:17">
      <c r="A19" s="11" t="s">
        <v>11</v>
      </c>
      <c r="B19" s="16">
        <v>0.5971</v>
      </c>
      <c r="C19" s="17" t="s">
        <v>10</v>
      </c>
      <c r="D19" s="16">
        <v>0.6269</v>
      </c>
      <c r="E19" s="16">
        <v>0.5607</v>
      </c>
      <c r="F19" s="16">
        <v>0.6436</v>
      </c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</row>
    <row r="20" spans="1:17">
      <c r="A20" s="11" t="s">
        <v>12</v>
      </c>
      <c r="B20" s="16">
        <v>0.7735</v>
      </c>
      <c r="C20" s="17" t="s">
        <v>10</v>
      </c>
      <c r="D20" s="16">
        <v>0.8373</v>
      </c>
      <c r="E20" s="16">
        <v>0.8188</v>
      </c>
      <c r="F20" s="16">
        <v>0.8694</v>
      </c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</row>
    <row r="24" s="1" customFormat="1" spans="2:19">
      <c r="B24" s="18" t="s">
        <v>13</v>
      </c>
      <c r="C24" s="18" t="s">
        <v>15</v>
      </c>
      <c r="D24" s="19" t="s">
        <v>17</v>
      </c>
      <c r="E24" s="18" t="s">
        <v>19</v>
      </c>
      <c r="F24" s="18" t="s">
        <v>20</v>
      </c>
      <c r="G24" s="18" t="s">
        <v>21</v>
      </c>
      <c r="H24" s="19" t="s">
        <v>30</v>
      </c>
      <c r="I24" s="18" t="s">
        <v>31</v>
      </c>
      <c r="J24" s="18" t="s">
        <v>32</v>
      </c>
      <c r="K24" s="18" t="s">
        <v>33</v>
      </c>
      <c r="L24" s="18" t="s">
        <v>34</v>
      </c>
      <c r="M24" s="18" t="s">
        <v>35</v>
      </c>
      <c r="N24" s="19" t="s">
        <v>36</v>
      </c>
      <c r="O24" s="18" t="s">
        <v>25</v>
      </c>
      <c r="P24" s="18" t="s">
        <v>26</v>
      </c>
      <c r="Q24" s="18" t="s">
        <v>27</v>
      </c>
      <c r="R24" s="18" t="s">
        <v>28</v>
      </c>
      <c r="S24" s="28" t="s">
        <v>14</v>
      </c>
    </row>
    <row r="25" spans="1:19">
      <c r="A25" s="11" t="s">
        <v>7</v>
      </c>
      <c r="B25" s="20">
        <v>0.844</v>
      </c>
      <c r="C25" s="21">
        <v>0.8978</v>
      </c>
      <c r="D25" s="21">
        <v>0.9097</v>
      </c>
      <c r="E25" s="21">
        <v>0.9235</v>
      </c>
      <c r="F25" s="21">
        <v>0.9109</v>
      </c>
      <c r="G25" s="21">
        <v>0.9145</v>
      </c>
      <c r="H25" s="21">
        <v>0.882</v>
      </c>
      <c r="I25" s="21">
        <v>0.822</v>
      </c>
      <c r="J25" s="21">
        <v>0.8889</v>
      </c>
      <c r="K25" s="21">
        <v>0.8321</v>
      </c>
      <c r="L25" s="21">
        <v>0.8256</v>
      </c>
      <c r="M25" s="21">
        <v>0.8656</v>
      </c>
      <c r="N25" s="21">
        <v>0.87</v>
      </c>
      <c r="O25" s="22">
        <v>0.8542</v>
      </c>
      <c r="P25" s="25">
        <v>0.892</v>
      </c>
      <c r="Q25" s="25">
        <v>0.853</v>
      </c>
      <c r="R25" s="25">
        <v>0.8966</v>
      </c>
      <c r="S25" s="25">
        <v>0.7861</v>
      </c>
    </row>
    <row r="26" spans="1:19">
      <c r="A26" s="11" t="s">
        <v>8</v>
      </c>
      <c r="B26" s="20">
        <v>0.8351</v>
      </c>
      <c r="C26" s="22">
        <v>0.8709</v>
      </c>
      <c r="D26" s="21">
        <v>0.8888</v>
      </c>
      <c r="E26" s="21">
        <v>0.8554</v>
      </c>
      <c r="F26" s="22">
        <v>0.8853</v>
      </c>
      <c r="G26" s="21">
        <v>0.8739</v>
      </c>
      <c r="H26" s="21">
        <v>0.872</v>
      </c>
      <c r="I26" s="21">
        <v>0.823</v>
      </c>
      <c r="J26" s="21">
        <v>0.8536</v>
      </c>
      <c r="K26" s="21">
        <v>0.874</v>
      </c>
      <c r="L26" s="21">
        <v>0.859</v>
      </c>
      <c r="M26" s="21">
        <v>0.8345</v>
      </c>
      <c r="N26" s="21">
        <v>0.826</v>
      </c>
      <c r="O26" s="22">
        <v>0.8733</v>
      </c>
      <c r="P26" s="32">
        <v>0.868</v>
      </c>
      <c r="Q26" s="25">
        <v>0.8679</v>
      </c>
      <c r="R26" s="25">
        <v>0.8643</v>
      </c>
      <c r="S26" s="25">
        <v>0.8709</v>
      </c>
    </row>
    <row r="27" spans="1:19">
      <c r="A27" s="11" t="s">
        <v>9</v>
      </c>
      <c r="F27" s="25">
        <v>0.6711</v>
      </c>
      <c r="G27" s="25">
        <v>0.6539</v>
      </c>
      <c r="H27" s="25">
        <v>0.676</v>
      </c>
      <c r="I27" s="25">
        <v>0.64</v>
      </c>
      <c r="J27" s="25">
        <v>0.6768</v>
      </c>
      <c r="K27" s="25">
        <v>0.6483</v>
      </c>
      <c r="L27" s="25">
        <v>0.6468</v>
      </c>
      <c r="M27" s="25">
        <v>0.6753</v>
      </c>
      <c r="N27" s="25">
        <v>0.594</v>
      </c>
      <c r="O27" s="30">
        <v>0.4699</v>
      </c>
      <c r="P27" s="25">
        <v>0.669</v>
      </c>
      <c r="Q27" s="25">
        <v>0.4729</v>
      </c>
      <c r="R27" s="25">
        <v>0.6813</v>
      </c>
      <c r="S27" s="25">
        <v>0.5904</v>
      </c>
    </row>
    <row r="28" spans="1:19">
      <c r="A28" s="11" t="s">
        <v>11</v>
      </c>
      <c r="F28" s="25">
        <v>0.7244</v>
      </c>
      <c r="G28" s="25">
        <v>0.712</v>
      </c>
      <c r="H28" s="25">
        <v>0.735</v>
      </c>
      <c r="I28" s="25">
        <v>0.712</v>
      </c>
      <c r="J28" s="25">
        <v>0.7444</v>
      </c>
      <c r="K28" s="25">
        <v>0.7309</v>
      </c>
      <c r="L28" s="25">
        <v>0.7267</v>
      </c>
      <c r="M28" s="25">
        <v>0.7342</v>
      </c>
      <c r="N28" s="25">
        <v>0.416</v>
      </c>
      <c r="O28" s="30">
        <v>0.6527</v>
      </c>
      <c r="P28" s="25">
        <v>0.71</v>
      </c>
      <c r="Q28" s="25">
        <v>0.6512</v>
      </c>
      <c r="R28" s="25">
        <v>0.7008</v>
      </c>
      <c r="S28" s="25">
        <v>0.593</v>
      </c>
    </row>
    <row r="29" spans="1:19">
      <c r="A29" s="11" t="s">
        <v>12</v>
      </c>
      <c r="F29" s="25">
        <v>0.9049</v>
      </c>
      <c r="G29" s="25">
        <v>0.8752</v>
      </c>
      <c r="H29" s="25">
        <v>0.789</v>
      </c>
      <c r="I29" s="25">
        <v>0.752</v>
      </c>
      <c r="J29" s="25">
        <v>0.8606</v>
      </c>
      <c r="K29" s="25">
        <v>0.8449</v>
      </c>
      <c r="L29" s="25">
        <v>0.8452</v>
      </c>
      <c r="M29" s="25">
        <v>0.8464</v>
      </c>
      <c r="N29" s="25">
        <v>0.715</v>
      </c>
      <c r="O29" s="30">
        <v>0.7712</v>
      </c>
      <c r="P29" s="25">
        <v>0.853</v>
      </c>
      <c r="Q29" s="25">
        <v>0.7839</v>
      </c>
      <c r="R29" s="25">
        <v>0.8489</v>
      </c>
      <c r="S29" s="25">
        <v>0.7866</v>
      </c>
    </row>
    <row r="30" spans="1:19">
      <c r="A30" s="23" t="s">
        <v>29</v>
      </c>
      <c r="F30" s="25">
        <f t="shared" ref="F30:P30" si="0">AVERAGE(F25:F29)</f>
        <v>0.81932</v>
      </c>
      <c r="G30" s="25">
        <f t="shared" si="0"/>
        <v>0.8059</v>
      </c>
      <c r="H30" s="25">
        <f t="shared" si="0"/>
        <v>0.7908</v>
      </c>
      <c r="I30" s="25">
        <f t="shared" si="0"/>
        <v>0.7498</v>
      </c>
      <c r="J30" s="25">
        <f t="shared" si="0"/>
        <v>0.80486</v>
      </c>
      <c r="K30" s="25">
        <f t="shared" si="0"/>
        <v>0.78604</v>
      </c>
      <c r="L30" s="25">
        <f t="shared" si="0"/>
        <v>0.78066</v>
      </c>
      <c r="M30" s="25">
        <f t="shared" si="0"/>
        <v>0.7912</v>
      </c>
      <c r="N30" s="25">
        <f t="shared" si="0"/>
        <v>0.6842</v>
      </c>
      <c r="O30" s="25">
        <f t="shared" si="0"/>
        <v>0.72426</v>
      </c>
      <c r="P30" s="25">
        <f t="shared" si="0"/>
        <v>0.7984</v>
      </c>
      <c r="Q30" s="25">
        <v>0.7257</v>
      </c>
      <c r="R30" s="25">
        <v>0.7983</v>
      </c>
      <c r="S30" s="25">
        <v>0.7254</v>
      </c>
    </row>
    <row r="31" spans="8:18">
      <c r="H31" s="26">
        <f>H30-G30</f>
        <v>-0.0151</v>
      </c>
      <c r="I31" s="26">
        <f t="shared" ref="H31:J31" si="1">I30-G30</f>
        <v>-0.0561000000000001</v>
      </c>
      <c r="J31" s="26">
        <f>J30-G30</f>
        <v>-0.00104000000000004</v>
      </c>
      <c r="K31" s="26">
        <f>K30-G30</f>
        <v>-0.01986</v>
      </c>
      <c r="L31" s="26">
        <f>L30-G30</f>
        <v>-0.0252399999999999</v>
      </c>
      <c r="M31" s="26">
        <f>M30-G30</f>
        <v>-0.0147</v>
      </c>
      <c r="N31" s="26">
        <f>N30-G30</f>
        <v>-0.1217</v>
      </c>
      <c r="O31" s="25">
        <f>O30-G30</f>
        <v>-0.08164</v>
      </c>
      <c r="P31" s="25">
        <f>P30-F30</f>
        <v>-0.02092</v>
      </c>
      <c r="Q31" s="25">
        <v>0.0014</v>
      </c>
      <c r="R31" s="25">
        <v>-0.0001</v>
      </c>
    </row>
    <row r="34" s="2" customFormat="1" ht="28.5" spans="2:10">
      <c r="B34" s="24" t="s">
        <v>21</v>
      </c>
      <c r="C34" s="24" t="s">
        <v>35</v>
      </c>
      <c r="D34" s="24" t="s">
        <v>37</v>
      </c>
      <c r="E34" s="24" t="s">
        <v>38</v>
      </c>
      <c r="F34" s="24" t="s">
        <v>39</v>
      </c>
      <c r="G34" s="28" t="s">
        <v>14</v>
      </c>
      <c r="H34" s="2" t="s">
        <v>14</v>
      </c>
      <c r="I34" s="24" t="s">
        <v>25</v>
      </c>
      <c r="J34" s="29" t="s">
        <v>40</v>
      </c>
    </row>
    <row r="35" spans="1:10">
      <c r="A35" s="11" t="s">
        <v>7</v>
      </c>
      <c r="B35" s="21">
        <v>0.9145</v>
      </c>
      <c r="C35" s="21">
        <v>0.8656</v>
      </c>
      <c r="D35" s="25">
        <v>0.8973</v>
      </c>
      <c r="E35" s="25">
        <v>0.8877</v>
      </c>
      <c r="F35" s="26">
        <v>0.8907</v>
      </c>
      <c r="G35" s="25">
        <v>0.7861</v>
      </c>
      <c r="H35" s="26">
        <v>0.7861</v>
      </c>
      <c r="I35" s="22">
        <v>0.8542</v>
      </c>
      <c r="J35" s="25">
        <v>0.7861</v>
      </c>
    </row>
    <row r="36" spans="1:10">
      <c r="A36" s="11" t="s">
        <v>8</v>
      </c>
      <c r="B36" s="21">
        <v>0.8739</v>
      </c>
      <c r="C36" s="14">
        <v>0.8345</v>
      </c>
      <c r="D36" s="14">
        <v>0.8094</v>
      </c>
      <c r="E36" s="25">
        <v>0.8088</v>
      </c>
      <c r="F36" s="26">
        <v>0.8088</v>
      </c>
      <c r="G36" s="25">
        <v>0.8709</v>
      </c>
      <c r="H36" s="26">
        <v>0.8709</v>
      </c>
      <c r="I36" s="22">
        <v>0.8733</v>
      </c>
      <c r="J36" s="25">
        <v>0.8709</v>
      </c>
    </row>
    <row r="37" spans="1:15">
      <c r="A37" s="11" t="s">
        <v>9</v>
      </c>
      <c r="B37" s="25">
        <v>0.6539</v>
      </c>
      <c r="C37" s="25">
        <v>0.6753</v>
      </c>
      <c r="D37" s="25">
        <v>0.6513</v>
      </c>
      <c r="E37" s="25">
        <v>0.667</v>
      </c>
      <c r="F37" s="26">
        <v>0.6685</v>
      </c>
      <c r="G37" s="25">
        <v>0.6122</v>
      </c>
      <c r="H37" s="26">
        <v>0.5904</v>
      </c>
      <c r="I37" s="30">
        <v>0.4699</v>
      </c>
      <c r="J37" s="31">
        <v>0.6362</v>
      </c>
      <c r="O37" s="33"/>
    </row>
    <row r="38" spans="1:10">
      <c r="A38" s="11" t="s">
        <v>11</v>
      </c>
      <c r="B38" s="25">
        <v>0.712</v>
      </c>
      <c r="C38" s="25">
        <v>0.7342</v>
      </c>
      <c r="D38" s="25">
        <v>0.7151</v>
      </c>
      <c r="E38" s="25">
        <v>0.7252</v>
      </c>
      <c r="F38" s="26">
        <v>0.726</v>
      </c>
      <c r="G38" s="25">
        <v>0.6531</v>
      </c>
      <c r="H38" s="26">
        <v>0.593</v>
      </c>
      <c r="I38" s="30">
        <v>0.6527</v>
      </c>
      <c r="J38" s="23" t="s">
        <v>41</v>
      </c>
    </row>
    <row r="39" spans="1:10">
      <c r="A39" s="11" t="s">
        <v>12</v>
      </c>
      <c r="B39" s="25">
        <v>0.8752</v>
      </c>
      <c r="C39" s="14">
        <v>0.8464</v>
      </c>
      <c r="D39" s="14">
        <v>0.7581</v>
      </c>
      <c r="E39" s="25">
        <v>0.7945</v>
      </c>
      <c r="F39" s="26">
        <v>0.7941</v>
      </c>
      <c r="G39" s="25">
        <v>0.7276</v>
      </c>
      <c r="H39" s="26">
        <v>0.7866</v>
      </c>
      <c r="I39" s="30">
        <v>0.7712</v>
      </c>
      <c r="J39" s="31">
        <v>0.7389</v>
      </c>
    </row>
    <row r="40" spans="1:9">
      <c r="A40" s="23" t="s">
        <v>29</v>
      </c>
      <c r="B40" s="25">
        <f>AVERAGE(B35:B39)</f>
        <v>0.8059</v>
      </c>
      <c r="C40" s="25">
        <f>AVERAGE(C35:C39)</f>
        <v>0.7912</v>
      </c>
      <c r="D40" s="25">
        <f>AVERAGE(D35:D39)</f>
        <v>0.76624</v>
      </c>
      <c r="E40" s="25">
        <v>0.7767</v>
      </c>
      <c r="F40" s="26">
        <v>0.7776</v>
      </c>
      <c r="G40" s="25">
        <v>0.7299</v>
      </c>
      <c r="H40" s="26">
        <v>0.7254</v>
      </c>
      <c r="I40" s="25">
        <f>AVERAGE(I35:I39)</f>
        <v>0.72426</v>
      </c>
    </row>
    <row r="41" spans="3:9">
      <c r="C41" s="26">
        <f>C40-B40</f>
        <v>-0.0147</v>
      </c>
      <c r="D41" s="25">
        <f>D40-B40</f>
        <v>-0.03966</v>
      </c>
      <c r="E41" s="25">
        <f>E40-B40</f>
        <v>-0.0291999999999999</v>
      </c>
      <c r="F41" s="26">
        <f>F40-B40</f>
        <v>-0.0282999999999999</v>
      </c>
      <c r="I41" s="25">
        <f>I40-B40</f>
        <v>-0.08164</v>
      </c>
    </row>
    <row r="45" spans="6:6">
      <c r="F45">
        <f>F40-C40</f>
        <v>-0.0135999999999999</v>
      </c>
    </row>
  </sheetData>
  <sheetProtection formatCells="0" insertHyperlinks="0" autoFilter="0"/>
  <mergeCells count="1">
    <mergeCell ref="A2:U5"/>
  </mergeCells>
  <pageMargins left="0.7" right="0.7" top="0.75" bottom="0.75" header="0.3" footer="0.3"/>
  <pageSetup paperSize="9" orientation="portrait" horizontalDpi="300" verticalDpi="300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omments xmlns="https://web.wps.cn/et/2018/main" xmlns:s="http://schemas.openxmlformats.org/spreadsheetml/2006/main"/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/>
    <woSheetProps sheetStid="3" interlineOnOff="0" interlineColor="0" isDbSheet="0" isDashBoardSheet="0"/>
  </woSheetsProps>
  <woBookProps>
    <bookSettings isFilterShared="1" isAutoUpdatePaused="0" filterType="conn" isMergeTasksAutoUpdate="0" isInserPicAsAttachment="0"/>
  </woBookProps>
</woProps>
</file>

<file path=customXml/item3.xml><?xml version="1.0" encoding="utf-8"?>
<allowEditUser xmlns="https://web.wps.cn/et/2018/main" xmlns:s="http://schemas.openxmlformats.org/spreadsheetml/2006/main" hasInvisiblePropRange="0">
  <rangeList sheetStid="1" master=""/>
  <rangeList sheetStid="3" master=""/>
</allowEditUser>
</file>

<file path=customXml/item4.xml><?xml version="1.0" encoding="utf-8"?>
<pixelators xmlns="https://web.wps.cn/et/2018/main" xmlns:s="http://schemas.openxmlformats.org/spreadsheetml/2006/main">
  <pixelatorList sheetStid="1"/>
  <pixelatorList sheetStid="3"/>
  <pixelatorList sheetStid="4"/>
</pixelator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WWO_wpscloud_20220610184021-d16965c606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2015-06-16T02:19:00Z</dcterms:created>
  <dcterms:modified xsi:type="dcterms:W3CDTF">2024-03-31T09:53:00Z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